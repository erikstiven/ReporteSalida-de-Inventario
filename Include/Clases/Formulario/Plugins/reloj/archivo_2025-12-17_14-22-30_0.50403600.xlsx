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TH\Desktop\"/>
    </mc:Choice>
  </mc:AlternateContent>
  <bookViews>
    <workbookView xWindow="0" yWindow="0" windowWidth="28800" windowHeight="12330"/>
  </bookViews>
  <sheets>
    <sheet name="excel - 2025-12-15T143346.6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5" i="1" l="1"/>
  <c r="M55" i="1"/>
  <c r="O33" i="1"/>
  <c r="O23" i="1"/>
  <c r="O24" i="1"/>
  <c r="O25" i="1"/>
  <c r="O26" i="1"/>
  <c r="O27" i="1"/>
  <c r="O28" i="1"/>
  <c r="O29" i="1"/>
  <c r="O30" i="1"/>
  <c r="O31" i="1"/>
  <c r="O32" i="1"/>
  <c r="O22" i="1"/>
  <c r="N33" i="1" l="1"/>
  <c r="N23" i="1"/>
  <c r="N24" i="1"/>
  <c r="N25" i="1"/>
  <c r="N26" i="1"/>
  <c r="N27" i="1"/>
  <c r="N28" i="1"/>
  <c r="N29" i="1"/>
  <c r="N30" i="1"/>
  <c r="N31" i="1"/>
  <c r="N32" i="1"/>
  <c r="N22" i="1"/>
  <c r="M33" i="1"/>
  <c r="M32" i="1"/>
  <c r="M31" i="1"/>
  <c r="M30" i="1"/>
  <c r="M29" i="1"/>
  <c r="M28" i="1"/>
  <c r="M27" i="1"/>
  <c r="M26" i="1"/>
  <c r="M25" i="1"/>
  <c r="M24" i="1"/>
  <c r="M23" i="1"/>
  <c r="M22" i="1"/>
  <c r="L33" i="1"/>
</calcChain>
</file>

<file path=xl/sharedStrings.xml><?xml version="1.0" encoding="utf-8"?>
<sst xmlns="http://schemas.openxmlformats.org/spreadsheetml/2006/main" count="70" uniqueCount="62">
  <si>
    <t>F. Calculo</t>
  </si>
  <si>
    <t>Clave</t>
  </si>
  <si>
    <t>Nombre</t>
  </si>
  <si>
    <t>Vida Util</t>
  </si>
  <si>
    <t>Anio</t>
  </si>
  <si>
    <t>Mes</t>
  </si>
  <si>
    <t>Valor Compra</t>
  </si>
  <si>
    <t>Valor Residual</t>
  </si>
  <si>
    <t>Valor Neto</t>
  </si>
  <si>
    <t>Dep. Anterior</t>
  </si>
  <si>
    <t>Gasto Depr.</t>
  </si>
  <si>
    <t>Dep. Acum.</t>
  </si>
  <si>
    <t>Valor por Depr.</t>
  </si>
  <si>
    <t>CABLE VIA MUROS</t>
  </si>
  <si>
    <t>    CABLE VIA-MUROS-VIAS-CANALES</t>
  </si>
  <si>
    <t>IIM-RLS-00005</t>
  </si>
  <si>
    <t>300 MT RIELES</t>
  </si>
  <si>
    <t>IIM-CO-00001</t>
  </si>
  <si>
    <t>COMEDOR</t>
  </si>
  <si>
    <t>IIM-OC-00001</t>
  </si>
  <si>
    <t>INVERSIONES INTERIOR MINA</t>
  </si>
  <si>
    <t>IIM-OC-00002</t>
  </si>
  <si>
    <t>INE-IEP-00002</t>
  </si>
  <si>
    <t>METRO CABLE ALTA TENSION 15 KV</t>
  </si>
  <si>
    <t>IIM-PO-00001</t>
  </si>
  <si>
    <t>POLVORIN</t>
  </si>
  <si>
    <t>IIM-IAM-00001</t>
  </si>
  <si>
    <t>PURIFICADOR DE AGUA</t>
  </si>
  <si>
    <t>IIM-RLS-00003</t>
  </si>
  <si>
    <t>RIELES</t>
  </si>
  <si>
    <t>IIM-RLS-00004</t>
  </si>
  <si>
    <t>IIM-RLS-00002</t>
  </si>
  <si>
    <t>IIM-RLS-00001</t>
  </si>
  <si>
    <t>RIELES 6M X 15 KL 996 M</t>
  </si>
  <si>
    <t>INE-IEP-00001</t>
  </si>
  <si>
    <t>TABLERO TRIFASICO CON BREAKER</t>
  </si>
  <si>
    <t>IIA-MSA-00001</t>
  </si>
  <si>
    <t>TANQUE</t>
  </si>
  <si>
    <t>INE-IEP-00003</t>
  </si>
  <si>
    <t>TRANSFORMADOR</t>
  </si>
  <si>
    <t>TOTAL GRUPO</t>
  </si>
  <si>
    <t>EDIFICIOS</t>
  </si>
  <si>
    <t>    EDIFICIOS</t>
  </si>
  <si>
    <t>EPA-EPA-00003</t>
  </si>
  <si>
    <t>GARITAS BATERIAS CAMPAMENTO</t>
  </si>
  <si>
    <t>EPA-EPA-00001</t>
  </si>
  <si>
    <t>MURO DE CONTENCION</t>
  </si>
  <si>
    <t>EC-EC-00001</t>
  </si>
  <si>
    <t>EDIFICIO CENTENARIO</t>
  </si>
  <si>
    <t>EPA-EPA-00005</t>
  </si>
  <si>
    <t>EPL-EPL-00001</t>
  </si>
  <si>
    <t>EDIFICIO PLANTA</t>
  </si>
  <si>
    <t>EPA-EPA-00004</t>
  </si>
  <si>
    <t>EDIFICIO PIQUE</t>
  </si>
  <si>
    <t>OFICINAS PIQUE AMERICANO</t>
  </si>
  <si>
    <t>EP-MSO-00001</t>
  </si>
  <si>
    <t>OFICINAS ADMINISTRATIVAS</t>
  </si>
  <si>
    <t>CCP-MSP-00001</t>
  </si>
  <si>
    <t>CONSTRUCCIONES ANO 2015</t>
  </si>
  <si>
    <t>CCP-MSP-00002</t>
  </si>
  <si>
    <t>CCP-MPL-00003</t>
  </si>
  <si>
    <t>CONSTRUCCION EN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</si>
</sst>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4" fontId="0" fillId="2" borderId="0" xfId="0" applyNumberFormat="1" applyFill="1" applyAlignment="1">
      <alignment horizontal="right" wrapText="1"/>
    </xf>
    <xf numFmtId="4" fontId="0" fillId="3" borderId="0" xfId="0" applyNumberFormat="1" applyFill="1" applyAlignment="1">
      <alignment horizontal="right" wrapText="1"/>
    </xf>
    <xf numFmtId="4" fontId="4" fillId="0" borderId="0" xfId="0" applyNumberFormat="1" applyFont="1" applyAlignment="1">
      <alignment horizontal="right" wrapText="1"/>
    </xf>
    <xf numFmtId="4" fontId="0" fillId="0" borderId="0" xfId="0" applyNumberFormat="1"/>
    <xf numFmtId="0" fontId="0" fillId="3" borderId="0" xfId="0" applyFill="1" applyAlignment="1">
      <alignment horizontal="right"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5"/>
  <sheetViews>
    <sheetView showGridLines="0" tabSelected="1" topLeftCell="A2" workbookViewId="0">
      <selection activeCell="D43" sqref="D43"/>
    </sheetView>
  </sheetViews>
  <sheetFormatPr baseColWidth="10" defaultRowHeight="15" x14ac:dyDescent="0.25"/>
  <cols>
    <col min="1" max="1" width="3.140625" customWidth="1"/>
    <col min="2" max="2" width="16.28515625" customWidth="1"/>
    <col min="3" max="3" width="25.140625" customWidth="1"/>
    <col min="4" max="4" width="35.42578125" customWidth="1"/>
    <col min="5" max="5" width="16.28515625" customWidth="1"/>
    <col min="6" max="6" width="8" customWidth="1"/>
    <col min="7" max="7" width="7.5703125" customWidth="1"/>
    <col min="8" max="8" width="6.42578125" hidden="1" customWidth="1"/>
    <col min="9" max="9" width="17.85546875" style="14" customWidth="1"/>
    <col min="10" max="10" width="18.28515625" style="14" customWidth="1"/>
    <col min="11" max="11" width="17.85546875" customWidth="1"/>
    <col min="12" max="12" width="17.85546875" style="14" customWidth="1"/>
    <col min="13" max="13" width="15.42578125" style="14" customWidth="1"/>
    <col min="14" max="14" width="17.85546875" style="14" customWidth="1"/>
    <col min="15" max="15" width="21" style="14" customWidth="1"/>
  </cols>
  <sheetData>
    <row r="1" spans="2:15" x14ac:dyDescent="0.25">
      <c r="B1" s="1" t="s">
        <v>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2:15" x14ac:dyDescent="0.25">
      <c r="B2" s="1"/>
      <c r="C2" s="1"/>
      <c r="D2" s="1"/>
      <c r="E2" s="1"/>
      <c r="F2" s="1"/>
      <c r="G2" s="1"/>
      <c r="H2" s="1"/>
      <c r="I2" s="2"/>
      <c r="J2" s="2"/>
      <c r="K2" s="1"/>
      <c r="L2" s="2"/>
      <c r="M2" s="2"/>
      <c r="N2" s="2"/>
      <c r="O2" s="2"/>
    </row>
    <row r="3" spans="2:15" ht="15" hidden="1" customHeight="1" x14ac:dyDescent="0.25">
      <c r="C3" s="3" t="s">
        <v>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5" hidden="1" customHeight="1" x14ac:dyDescent="0.25">
      <c r="C4" s="4" t="s">
        <v>14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idden="1" x14ac:dyDescent="0.25">
      <c r="B5" s="5">
        <v>44896</v>
      </c>
      <c r="C5" s="6" t="s">
        <v>15</v>
      </c>
      <c r="D5" s="6" t="s">
        <v>16</v>
      </c>
      <c r="E5" s="5">
        <v>44896</v>
      </c>
      <c r="F5" s="7">
        <v>10</v>
      </c>
      <c r="G5" s="7">
        <v>2025</v>
      </c>
      <c r="H5" s="7">
        <v>1</v>
      </c>
      <c r="I5" s="8">
        <v>9023.2099999999991</v>
      </c>
      <c r="J5" s="8">
        <v>902.32</v>
      </c>
      <c r="K5" s="8">
        <v>8120.89</v>
      </c>
      <c r="L5" s="8">
        <v>0</v>
      </c>
      <c r="M5" s="8">
        <v>203.01</v>
      </c>
      <c r="N5" s="8">
        <v>203.01</v>
      </c>
      <c r="O5" s="8">
        <v>8820.2000000000007</v>
      </c>
    </row>
    <row r="6" spans="2:15" hidden="1" x14ac:dyDescent="0.25">
      <c r="B6" s="5">
        <v>40756</v>
      </c>
      <c r="C6" s="6" t="s">
        <v>17</v>
      </c>
      <c r="D6" s="6" t="s">
        <v>18</v>
      </c>
      <c r="E6" s="5">
        <v>40756</v>
      </c>
      <c r="F6" s="7">
        <v>8</v>
      </c>
      <c r="G6" s="7">
        <v>2025</v>
      </c>
      <c r="H6" s="7">
        <v>1</v>
      </c>
      <c r="I6" s="8">
        <v>1679.64</v>
      </c>
      <c r="J6" s="8">
        <v>167.96</v>
      </c>
      <c r="K6" s="8">
        <v>1511.68</v>
      </c>
      <c r="L6" s="8">
        <v>0</v>
      </c>
      <c r="M6" s="8">
        <v>126</v>
      </c>
      <c r="N6" s="8">
        <v>126</v>
      </c>
      <c r="O6" s="8">
        <v>1553.64</v>
      </c>
    </row>
    <row r="7" spans="2:15" hidden="1" x14ac:dyDescent="0.25">
      <c r="B7" s="5">
        <v>42005</v>
      </c>
      <c r="C7" s="6" t="s">
        <v>19</v>
      </c>
      <c r="D7" s="6" t="s">
        <v>20</v>
      </c>
      <c r="E7" s="5">
        <v>42005</v>
      </c>
      <c r="F7" s="7">
        <v>21</v>
      </c>
      <c r="G7" s="7">
        <v>2025</v>
      </c>
      <c r="H7" s="7">
        <v>1</v>
      </c>
      <c r="I7" s="8">
        <v>35406.230000000003</v>
      </c>
      <c r="J7" s="8">
        <v>3540.62</v>
      </c>
      <c r="K7" s="8">
        <v>31865.61</v>
      </c>
      <c r="L7" s="8">
        <v>0</v>
      </c>
      <c r="M7" s="8">
        <v>1390.95</v>
      </c>
      <c r="N7" s="8">
        <v>1390.95</v>
      </c>
      <c r="O7" s="8">
        <v>34015.279999999999</v>
      </c>
    </row>
    <row r="8" spans="2:15" hidden="1" x14ac:dyDescent="0.25">
      <c r="B8" s="5">
        <v>42370</v>
      </c>
      <c r="C8" s="6" t="s">
        <v>21</v>
      </c>
      <c r="D8" s="6" t="s">
        <v>20</v>
      </c>
      <c r="E8" s="5">
        <v>42370</v>
      </c>
      <c r="F8" s="7">
        <v>21</v>
      </c>
      <c r="G8" s="7">
        <v>2025</v>
      </c>
      <c r="H8" s="7">
        <v>1</v>
      </c>
      <c r="I8" s="8">
        <v>35255.26</v>
      </c>
      <c r="J8" s="8">
        <v>3525.53</v>
      </c>
      <c r="K8" s="8">
        <v>31729.73</v>
      </c>
      <c r="L8" s="8">
        <v>0</v>
      </c>
      <c r="M8" s="8">
        <v>1259.0999999999999</v>
      </c>
      <c r="N8" s="8">
        <v>1259.0999999999999</v>
      </c>
      <c r="O8" s="8">
        <v>33996.160000000003</v>
      </c>
    </row>
    <row r="9" spans="2:15" hidden="1" x14ac:dyDescent="0.25">
      <c r="B9" s="5">
        <v>40210</v>
      </c>
      <c r="C9" s="6" t="s">
        <v>22</v>
      </c>
      <c r="D9" s="6" t="s">
        <v>23</v>
      </c>
      <c r="E9" s="5">
        <v>40210</v>
      </c>
      <c r="F9" s="7">
        <v>10</v>
      </c>
      <c r="G9" s="7">
        <v>2025</v>
      </c>
      <c r="H9" s="7">
        <v>1</v>
      </c>
      <c r="I9" s="8">
        <v>10495.8</v>
      </c>
      <c r="J9" s="8">
        <v>1049.58</v>
      </c>
      <c r="K9" s="8">
        <v>9446.2199999999993</v>
      </c>
      <c r="L9" s="8">
        <v>78.72</v>
      </c>
      <c r="M9" s="8">
        <v>708.48</v>
      </c>
      <c r="N9" s="8">
        <v>787.2</v>
      </c>
      <c r="O9" s="8">
        <v>9708.6</v>
      </c>
    </row>
    <row r="10" spans="2:15" hidden="1" x14ac:dyDescent="0.25">
      <c r="B10" s="5">
        <v>40817</v>
      </c>
      <c r="C10" s="6" t="s">
        <v>24</v>
      </c>
      <c r="D10" s="6" t="s">
        <v>25</v>
      </c>
      <c r="E10" s="5">
        <v>40817</v>
      </c>
      <c r="F10" s="7">
        <v>8</v>
      </c>
      <c r="G10" s="7">
        <v>2025</v>
      </c>
      <c r="H10" s="7">
        <v>1</v>
      </c>
      <c r="I10" s="8">
        <v>7878.29</v>
      </c>
      <c r="J10" s="8">
        <v>787.83</v>
      </c>
      <c r="K10" s="8">
        <v>7090.46</v>
      </c>
      <c r="L10" s="8">
        <v>0</v>
      </c>
      <c r="M10" s="8">
        <v>590.88</v>
      </c>
      <c r="N10" s="8">
        <v>590.88</v>
      </c>
      <c r="O10" s="8">
        <v>7287.41</v>
      </c>
    </row>
    <row r="11" spans="2:15" hidden="1" x14ac:dyDescent="0.25">
      <c r="B11" s="5">
        <v>40544</v>
      </c>
      <c r="C11" s="6" t="s">
        <v>26</v>
      </c>
      <c r="D11" s="6" t="s">
        <v>27</v>
      </c>
      <c r="E11" s="5">
        <v>40544</v>
      </c>
      <c r="F11" s="7">
        <v>5</v>
      </c>
      <c r="G11" s="7">
        <v>2025</v>
      </c>
      <c r="H11" s="7">
        <v>1</v>
      </c>
      <c r="I11" s="8">
        <v>3800.66</v>
      </c>
      <c r="J11" s="8">
        <v>380.07</v>
      </c>
      <c r="K11" s="8">
        <v>3420.59</v>
      </c>
      <c r="L11" s="8">
        <v>57.01</v>
      </c>
      <c r="M11" s="8">
        <v>285.05</v>
      </c>
      <c r="N11" s="8">
        <v>342.06</v>
      </c>
      <c r="O11" s="8">
        <v>3458.6</v>
      </c>
    </row>
    <row r="12" spans="2:15" hidden="1" x14ac:dyDescent="0.25">
      <c r="B12" s="5">
        <v>40179</v>
      </c>
      <c r="C12" s="6" t="s">
        <v>28</v>
      </c>
      <c r="D12" s="6" t="s">
        <v>29</v>
      </c>
      <c r="E12" s="5">
        <v>40179</v>
      </c>
      <c r="F12" s="7">
        <v>8</v>
      </c>
      <c r="G12" s="7">
        <v>2025</v>
      </c>
      <c r="H12" s="7">
        <v>1</v>
      </c>
      <c r="I12" s="8">
        <v>13390</v>
      </c>
      <c r="J12" s="8">
        <v>1339</v>
      </c>
      <c r="K12" s="8">
        <v>12051</v>
      </c>
      <c r="L12" s="8">
        <v>125.53</v>
      </c>
      <c r="M12" s="8">
        <v>878.71</v>
      </c>
      <c r="N12" s="8">
        <v>1004.24</v>
      </c>
      <c r="O12" s="8">
        <v>12385.76</v>
      </c>
    </row>
    <row r="13" spans="2:15" hidden="1" x14ac:dyDescent="0.25">
      <c r="B13" s="5">
        <v>41640</v>
      </c>
      <c r="C13" s="6" t="s">
        <v>30</v>
      </c>
      <c r="D13" s="6" t="s">
        <v>29</v>
      </c>
      <c r="E13" s="5">
        <v>41640</v>
      </c>
      <c r="F13" s="7">
        <v>21</v>
      </c>
      <c r="G13" s="7">
        <v>2025</v>
      </c>
      <c r="H13" s="7">
        <v>1</v>
      </c>
      <c r="I13" s="8">
        <v>81170.33</v>
      </c>
      <c r="J13" s="8">
        <v>8117.03</v>
      </c>
      <c r="K13" s="8">
        <v>73053.3</v>
      </c>
      <c r="L13" s="8">
        <v>0</v>
      </c>
      <c r="M13" s="8">
        <v>3478.68</v>
      </c>
      <c r="N13" s="8">
        <v>3478.68</v>
      </c>
      <c r="O13" s="8">
        <v>77691.649999999994</v>
      </c>
    </row>
    <row r="14" spans="2:15" hidden="1" x14ac:dyDescent="0.25">
      <c r="B14" s="5">
        <v>40330</v>
      </c>
      <c r="C14" s="6" t="s">
        <v>31</v>
      </c>
      <c r="D14" s="6" t="s">
        <v>29</v>
      </c>
      <c r="E14" s="5">
        <v>40330</v>
      </c>
      <c r="F14" s="7">
        <v>8</v>
      </c>
      <c r="G14" s="7">
        <v>2025</v>
      </c>
      <c r="H14" s="7">
        <v>1</v>
      </c>
      <c r="I14" s="8">
        <v>17388.68</v>
      </c>
      <c r="J14" s="8">
        <v>1738.87</v>
      </c>
      <c r="K14" s="8">
        <v>15649.81</v>
      </c>
      <c r="L14" s="8">
        <v>163.02000000000001</v>
      </c>
      <c r="M14" s="8">
        <v>1304.1600000000001</v>
      </c>
      <c r="N14" s="8">
        <v>1467.18</v>
      </c>
      <c r="O14" s="8">
        <v>15921.5</v>
      </c>
    </row>
    <row r="15" spans="2:15" hidden="1" x14ac:dyDescent="0.25">
      <c r="B15" s="5">
        <v>40238</v>
      </c>
      <c r="C15" s="6" t="s">
        <v>32</v>
      </c>
      <c r="D15" s="6" t="s">
        <v>33</v>
      </c>
      <c r="E15" s="5">
        <v>40238</v>
      </c>
      <c r="F15" s="7">
        <v>8</v>
      </c>
      <c r="G15" s="7">
        <v>2025</v>
      </c>
      <c r="H15" s="7">
        <v>1</v>
      </c>
      <c r="I15" s="8">
        <v>16007.38</v>
      </c>
      <c r="J15" s="8">
        <v>1600.74</v>
      </c>
      <c r="K15" s="8">
        <v>14406.64</v>
      </c>
      <c r="L15" s="8">
        <v>150.07</v>
      </c>
      <c r="M15" s="8">
        <v>1200.56</v>
      </c>
      <c r="N15" s="8">
        <v>1350.63</v>
      </c>
      <c r="O15" s="8">
        <v>14656.75</v>
      </c>
    </row>
    <row r="16" spans="2:15" hidden="1" x14ac:dyDescent="0.25">
      <c r="B16" s="5">
        <v>39569</v>
      </c>
      <c r="C16" s="6" t="s">
        <v>34</v>
      </c>
      <c r="D16" s="6" t="s">
        <v>35</v>
      </c>
      <c r="E16" s="5">
        <v>39569</v>
      </c>
      <c r="F16" s="7">
        <v>10</v>
      </c>
      <c r="G16" s="7">
        <v>2025</v>
      </c>
      <c r="H16" s="7">
        <v>1</v>
      </c>
      <c r="I16" s="8">
        <v>1063</v>
      </c>
      <c r="J16" s="8">
        <v>106.3</v>
      </c>
      <c r="K16" s="7">
        <v>956.7</v>
      </c>
      <c r="L16" s="8">
        <v>7.97</v>
      </c>
      <c r="M16" s="8">
        <v>63.76</v>
      </c>
      <c r="N16" s="8">
        <v>71.73</v>
      </c>
      <c r="O16" s="8">
        <v>991.27</v>
      </c>
    </row>
    <row r="17" spans="2:15" hidden="1" x14ac:dyDescent="0.25">
      <c r="B17" s="5">
        <v>41579</v>
      </c>
      <c r="C17" s="6" t="s">
        <v>36</v>
      </c>
      <c r="D17" s="6" t="s">
        <v>37</v>
      </c>
      <c r="E17" s="5">
        <v>41579</v>
      </c>
      <c r="F17" s="7">
        <v>10</v>
      </c>
      <c r="G17" s="7">
        <v>2025</v>
      </c>
      <c r="H17" s="7">
        <v>1</v>
      </c>
      <c r="I17" s="8">
        <v>348.06</v>
      </c>
      <c r="J17" s="8">
        <v>34.81</v>
      </c>
      <c r="K17" s="7">
        <v>313.25</v>
      </c>
      <c r="L17" s="8">
        <v>0</v>
      </c>
      <c r="M17" s="8">
        <v>26.1</v>
      </c>
      <c r="N17" s="8">
        <v>26.1</v>
      </c>
      <c r="O17" s="8">
        <v>321.95999999999998</v>
      </c>
    </row>
    <row r="18" spans="2:15" hidden="1" x14ac:dyDescent="0.25">
      <c r="B18" s="5">
        <v>40425</v>
      </c>
      <c r="C18" s="6" t="s">
        <v>38</v>
      </c>
      <c r="D18" s="6" t="s">
        <v>39</v>
      </c>
      <c r="E18" s="5">
        <v>40425</v>
      </c>
      <c r="F18" s="7">
        <v>10</v>
      </c>
      <c r="G18" s="7">
        <v>2025</v>
      </c>
      <c r="H18" s="7">
        <v>1</v>
      </c>
      <c r="I18" s="8">
        <v>3172.5</v>
      </c>
      <c r="J18" s="8">
        <v>317.25</v>
      </c>
      <c r="K18" s="8">
        <v>2855.25</v>
      </c>
      <c r="L18" s="8">
        <v>23.79</v>
      </c>
      <c r="M18" s="8">
        <v>237.9</v>
      </c>
      <c r="N18" s="8">
        <v>261.69</v>
      </c>
      <c r="O18" s="8">
        <v>2910.81</v>
      </c>
    </row>
    <row r="19" spans="2:15" ht="15" hidden="1" customHeight="1" x14ac:dyDescent="0.25">
      <c r="C19" s="9" t="s">
        <v>40</v>
      </c>
      <c r="D19" s="9"/>
      <c r="E19" s="9"/>
      <c r="F19" s="9"/>
      <c r="G19" s="9"/>
      <c r="H19" s="9"/>
      <c r="I19" s="10">
        <v>236079.04</v>
      </c>
      <c r="J19" s="10">
        <v>23607.91</v>
      </c>
      <c r="K19" s="10">
        <v>212471.13</v>
      </c>
      <c r="L19" s="10">
        <v>606.11</v>
      </c>
      <c r="M19" s="10">
        <v>11753.34</v>
      </c>
      <c r="N19" s="10">
        <v>12359.45</v>
      </c>
      <c r="O19" s="10">
        <v>223719.59</v>
      </c>
    </row>
    <row r="20" spans="2:15" ht="15" customHeight="1" x14ac:dyDescent="0.25">
      <c r="C20" s="3" t="s">
        <v>41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15" customHeight="1" x14ac:dyDescent="0.25">
      <c r="C21" s="6" t="s">
        <v>42</v>
      </c>
      <c r="D21" s="6"/>
      <c r="E21" s="6"/>
      <c r="F21" s="6"/>
      <c r="G21" s="6"/>
      <c r="H21" s="6"/>
      <c r="I21" s="6"/>
      <c r="J21" s="6"/>
      <c r="K21" s="6"/>
      <c r="L21" s="6"/>
      <c r="M21" s="16"/>
      <c r="N21" s="16"/>
      <c r="O21" s="16"/>
    </row>
    <row r="22" spans="2:15" x14ac:dyDescent="0.25">
      <c r="B22" s="5">
        <v>39114</v>
      </c>
      <c r="C22" s="6" t="s">
        <v>43</v>
      </c>
      <c r="D22" s="6" t="s">
        <v>44</v>
      </c>
      <c r="E22" s="5">
        <v>39114</v>
      </c>
      <c r="F22" s="7">
        <v>20</v>
      </c>
      <c r="G22" s="7">
        <v>2025</v>
      </c>
      <c r="H22" s="7">
        <v>1</v>
      </c>
      <c r="I22" s="11">
        <v>4000</v>
      </c>
      <c r="J22" s="11">
        <v>400</v>
      </c>
      <c r="K22" s="11">
        <v>3600</v>
      </c>
      <c r="L22" s="12">
        <v>3225</v>
      </c>
      <c r="M22" s="8">
        <f>SUM(K22*5%)/12</f>
        <v>15</v>
      </c>
      <c r="N22" s="8">
        <f>+L22+M22</f>
        <v>3240</v>
      </c>
      <c r="O22" s="8">
        <f>+I22-N22</f>
        <v>760</v>
      </c>
    </row>
    <row r="23" spans="2:15" x14ac:dyDescent="0.25">
      <c r="B23" s="5">
        <v>39114</v>
      </c>
      <c r="C23" s="6" t="s">
        <v>45</v>
      </c>
      <c r="D23" s="6" t="s">
        <v>46</v>
      </c>
      <c r="E23" s="5">
        <v>39114</v>
      </c>
      <c r="F23" s="7">
        <v>20</v>
      </c>
      <c r="G23" s="7">
        <v>2025</v>
      </c>
      <c r="H23" s="7">
        <v>1</v>
      </c>
      <c r="I23" s="11">
        <v>4000</v>
      </c>
      <c r="J23" s="11">
        <v>400</v>
      </c>
      <c r="K23" s="11">
        <v>3600</v>
      </c>
      <c r="L23" s="12">
        <v>3225</v>
      </c>
      <c r="M23" s="8">
        <f t="shared" ref="M23:M32" si="0">SUM(K23*5%)/12</f>
        <v>15</v>
      </c>
      <c r="N23" s="8">
        <f t="shared" ref="N23:N32" si="1">+L23+M23</f>
        <v>3240</v>
      </c>
      <c r="O23" s="8">
        <f t="shared" ref="O23:O32" si="2">+I23-N23</f>
        <v>760</v>
      </c>
    </row>
    <row r="24" spans="2:15" x14ac:dyDescent="0.25">
      <c r="B24" s="5">
        <v>40179</v>
      </c>
      <c r="C24" s="6" t="s">
        <v>47</v>
      </c>
      <c r="D24" s="6" t="s">
        <v>48</v>
      </c>
      <c r="E24" s="5">
        <v>40179</v>
      </c>
      <c r="F24" s="7">
        <v>20</v>
      </c>
      <c r="G24" s="7">
        <v>2025</v>
      </c>
      <c r="H24" s="7">
        <v>1</v>
      </c>
      <c r="I24" s="11">
        <v>11808.23</v>
      </c>
      <c r="J24" s="11">
        <v>1180.82</v>
      </c>
      <c r="K24" s="11">
        <v>10627.41</v>
      </c>
      <c r="L24" s="12">
        <v>7970.56</v>
      </c>
      <c r="M24" s="8">
        <f t="shared" si="0"/>
        <v>44.280875000000002</v>
      </c>
      <c r="N24" s="8">
        <f t="shared" si="1"/>
        <v>8014.8408750000008</v>
      </c>
      <c r="O24" s="8">
        <f t="shared" si="2"/>
        <v>3793.3891249999988</v>
      </c>
    </row>
    <row r="25" spans="2:15" x14ac:dyDescent="0.25">
      <c r="B25" s="5">
        <v>40179</v>
      </c>
      <c r="C25" s="6" t="s">
        <v>49</v>
      </c>
      <c r="D25" s="6" t="s">
        <v>25</v>
      </c>
      <c r="E25" s="5">
        <v>40179</v>
      </c>
      <c r="F25" s="7">
        <v>20</v>
      </c>
      <c r="G25" s="7">
        <v>2025</v>
      </c>
      <c r="H25" s="7">
        <v>1</v>
      </c>
      <c r="I25" s="11">
        <v>3336.36</v>
      </c>
      <c r="J25" s="11">
        <v>333.64</v>
      </c>
      <c r="K25" s="11">
        <v>3002.72</v>
      </c>
      <c r="L25" s="12">
        <v>2252.04</v>
      </c>
      <c r="M25" s="8">
        <f t="shared" si="0"/>
        <v>12.511333333333333</v>
      </c>
      <c r="N25" s="8">
        <f t="shared" si="1"/>
        <v>2264.5513333333333</v>
      </c>
      <c r="O25" s="8">
        <f t="shared" si="2"/>
        <v>1071.8086666666668</v>
      </c>
    </row>
    <row r="26" spans="2:15" x14ac:dyDescent="0.25">
      <c r="B26" s="5">
        <v>40210</v>
      </c>
      <c r="C26" s="6" t="s">
        <v>50</v>
      </c>
      <c r="D26" s="6" t="s">
        <v>51</v>
      </c>
      <c r="E26" s="5">
        <v>40210</v>
      </c>
      <c r="F26" s="7">
        <v>20</v>
      </c>
      <c r="G26" s="7">
        <v>2025</v>
      </c>
      <c r="H26" s="7">
        <v>1</v>
      </c>
      <c r="I26" s="11">
        <v>34460.410000000003</v>
      </c>
      <c r="J26" s="11">
        <v>3446.04</v>
      </c>
      <c r="K26" s="11">
        <v>31014.37</v>
      </c>
      <c r="L26" s="12">
        <v>23131.55</v>
      </c>
      <c r="M26" s="8">
        <f t="shared" si="0"/>
        <v>129.22654166666666</v>
      </c>
      <c r="N26" s="8">
        <f t="shared" si="1"/>
        <v>23260.776541666666</v>
      </c>
      <c r="O26" s="8">
        <f t="shared" si="2"/>
        <v>11199.633458333337</v>
      </c>
    </row>
    <row r="27" spans="2:15" x14ac:dyDescent="0.25">
      <c r="B27" s="5">
        <v>40544</v>
      </c>
      <c r="C27" s="6" t="s">
        <v>52</v>
      </c>
      <c r="D27" s="6" t="s">
        <v>53</v>
      </c>
      <c r="E27" s="5">
        <v>40544</v>
      </c>
      <c r="F27" s="7">
        <v>20</v>
      </c>
      <c r="G27" s="7">
        <v>2025</v>
      </c>
      <c r="H27" s="7">
        <v>1</v>
      </c>
      <c r="I27" s="11">
        <v>24256.46</v>
      </c>
      <c r="J27" s="11">
        <v>2425.65</v>
      </c>
      <c r="K27" s="11">
        <v>21830.81</v>
      </c>
      <c r="L27" s="12">
        <v>15281.57</v>
      </c>
      <c r="M27" s="8">
        <f t="shared" si="0"/>
        <v>90.961708333333334</v>
      </c>
      <c r="N27" s="8">
        <f t="shared" si="1"/>
        <v>15372.531708333334</v>
      </c>
      <c r="O27" s="8">
        <f t="shared" si="2"/>
        <v>8883.9282916666652</v>
      </c>
    </row>
    <row r="28" spans="2:15" x14ac:dyDescent="0.25">
      <c r="B28" s="5">
        <v>40817</v>
      </c>
      <c r="C28" s="6" t="s">
        <v>45</v>
      </c>
      <c r="D28" s="6" t="s">
        <v>54</v>
      </c>
      <c r="E28" s="5">
        <v>40817</v>
      </c>
      <c r="F28" s="7">
        <v>20</v>
      </c>
      <c r="G28" s="7">
        <v>2025</v>
      </c>
      <c r="H28" s="7">
        <v>1</v>
      </c>
      <c r="I28" s="11">
        <v>11577.05</v>
      </c>
      <c r="J28" s="11">
        <v>1157.71</v>
      </c>
      <c r="K28" s="11">
        <v>10419.34</v>
      </c>
      <c r="L28" s="12">
        <v>6902.82</v>
      </c>
      <c r="M28" s="8">
        <f t="shared" si="0"/>
        <v>43.413916666666665</v>
      </c>
      <c r="N28" s="8">
        <f t="shared" si="1"/>
        <v>6946.2339166666661</v>
      </c>
      <c r="O28" s="8">
        <f t="shared" si="2"/>
        <v>4630.8160833333332</v>
      </c>
    </row>
    <row r="29" spans="2:15" x14ac:dyDescent="0.25">
      <c r="B29" s="5">
        <v>41640</v>
      </c>
      <c r="C29" s="6" t="s">
        <v>55</v>
      </c>
      <c r="D29" s="6" t="s">
        <v>56</v>
      </c>
      <c r="E29" s="5">
        <v>41640</v>
      </c>
      <c r="F29" s="7">
        <v>20</v>
      </c>
      <c r="G29" s="7">
        <v>2025</v>
      </c>
      <c r="H29" s="7">
        <v>1</v>
      </c>
      <c r="I29" s="11">
        <v>24816.55</v>
      </c>
      <c r="J29" s="11">
        <v>2481.66</v>
      </c>
      <c r="K29" s="11">
        <v>22334.89</v>
      </c>
      <c r="L29" s="12">
        <v>12284.2</v>
      </c>
      <c r="M29" s="8">
        <f t="shared" si="0"/>
        <v>93.062041666666673</v>
      </c>
      <c r="N29" s="8">
        <f t="shared" si="1"/>
        <v>12377.262041666667</v>
      </c>
      <c r="O29" s="8">
        <f t="shared" si="2"/>
        <v>12439.287958333332</v>
      </c>
    </row>
    <row r="30" spans="2:15" x14ac:dyDescent="0.25">
      <c r="B30" s="5">
        <v>42370</v>
      </c>
      <c r="C30" s="6" t="s">
        <v>57</v>
      </c>
      <c r="D30" s="6" t="s">
        <v>58</v>
      </c>
      <c r="E30" s="5">
        <v>42370</v>
      </c>
      <c r="F30" s="15">
        <v>20</v>
      </c>
      <c r="G30" s="7">
        <v>2025</v>
      </c>
      <c r="H30" s="7">
        <v>1</v>
      </c>
      <c r="I30" s="11">
        <v>44172.23</v>
      </c>
      <c r="J30" s="11">
        <v>4417.22</v>
      </c>
      <c r="K30" s="11">
        <v>39755.01</v>
      </c>
      <c r="L30" s="12">
        <v>17889.75</v>
      </c>
      <c r="M30" s="8">
        <f t="shared" si="0"/>
        <v>165.64587500000002</v>
      </c>
      <c r="N30" s="8">
        <f t="shared" si="1"/>
        <v>18055.395874999998</v>
      </c>
      <c r="O30" s="8">
        <f t="shared" si="2"/>
        <v>26116.834125000005</v>
      </c>
    </row>
    <row r="31" spans="2:15" x14ac:dyDescent="0.25">
      <c r="B31" s="5">
        <v>42370</v>
      </c>
      <c r="C31" s="6" t="s">
        <v>59</v>
      </c>
      <c r="D31" s="6" t="s">
        <v>58</v>
      </c>
      <c r="E31" s="5">
        <v>42370</v>
      </c>
      <c r="F31" s="15">
        <v>20</v>
      </c>
      <c r="G31" s="7">
        <v>2025</v>
      </c>
      <c r="H31" s="7">
        <v>1</v>
      </c>
      <c r="I31" s="11">
        <v>9077.51</v>
      </c>
      <c r="J31" s="11">
        <v>907.75</v>
      </c>
      <c r="K31" s="11">
        <v>8169.76</v>
      </c>
      <c r="L31" s="12">
        <v>3676.39</v>
      </c>
      <c r="M31" s="8">
        <f t="shared" si="0"/>
        <v>34.040666666666674</v>
      </c>
      <c r="N31" s="8">
        <f t="shared" si="1"/>
        <v>3710.4306666666666</v>
      </c>
      <c r="O31" s="8">
        <f t="shared" si="2"/>
        <v>5367.0793333333331</v>
      </c>
    </row>
    <row r="32" spans="2:15" x14ac:dyDescent="0.25">
      <c r="B32" s="5">
        <v>42735</v>
      </c>
      <c r="C32" s="6" t="s">
        <v>60</v>
      </c>
      <c r="D32" s="6" t="s">
        <v>61</v>
      </c>
      <c r="E32" s="5">
        <v>42735</v>
      </c>
      <c r="F32" s="7">
        <v>20</v>
      </c>
      <c r="G32" s="7">
        <v>2025</v>
      </c>
      <c r="H32" s="7">
        <v>1</v>
      </c>
      <c r="I32" s="11">
        <v>4238.75</v>
      </c>
      <c r="J32" s="11">
        <v>423.88</v>
      </c>
      <c r="K32" s="11">
        <v>3814.87</v>
      </c>
      <c r="L32" s="12">
        <v>1525.95</v>
      </c>
      <c r="M32" s="8">
        <f t="shared" si="0"/>
        <v>15.895291666666667</v>
      </c>
      <c r="N32" s="8">
        <f t="shared" si="1"/>
        <v>1541.8452916666668</v>
      </c>
      <c r="O32" s="8">
        <f t="shared" si="2"/>
        <v>2696.9047083333335</v>
      </c>
    </row>
    <row r="33" spans="3:15" ht="15" customHeight="1" x14ac:dyDescent="0.25">
      <c r="C33" s="9" t="s">
        <v>40</v>
      </c>
      <c r="D33" s="9"/>
      <c r="E33" s="9"/>
      <c r="F33" s="9"/>
      <c r="G33" s="9"/>
      <c r="H33" s="9"/>
      <c r="I33" s="10">
        <v>175743.55</v>
      </c>
      <c r="J33" s="10">
        <v>17574.37</v>
      </c>
      <c r="K33" s="10">
        <v>158169.18</v>
      </c>
      <c r="L33" s="13">
        <f>SUM(L22:L32)</f>
        <v>97364.83</v>
      </c>
      <c r="M33" s="10">
        <f>SUM(M22:M32)</f>
        <v>659.03825000000006</v>
      </c>
      <c r="N33" s="10">
        <f>SUM(N22:N32)</f>
        <v>98023.86825</v>
      </c>
      <c r="O33" s="10">
        <f>SUM(O22:O32)</f>
        <v>77719.681749999989</v>
      </c>
    </row>
    <row r="37" spans="3:15" x14ac:dyDescent="0.25">
      <c r="M37" s="14">
        <v>11</v>
      </c>
    </row>
    <row r="38" spans="3:15" x14ac:dyDescent="0.25">
      <c r="M38" s="14">
        <v>12</v>
      </c>
    </row>
    <row r="39" spans="3:15" x14ac:dyDescent="0.25">
      <c r="M39" s="14">
        <v>12</v>
      </c>
    </row>
    <row r="40" spans="3:15" x14ac:dyDescent="0.25">
      <c r="M40" s="14">
        <v>12</v>
      </c>
    </row>
    <row r="41" spans="3:15" x14ac:dyDescent="0.25">
      <c r="M41" s="14">
        <v>12</v>
      </c>
    </row>
    <row r="42" spans="3:15" x14ac:dyDescent="0.25">
      <c r="M42" s="14">
        <v>12</v>
      </c>
    </row>
    <row r="43" spans="3:15" x14ac:dyDescent="0.25">
      <c r="M43" s="14">
        <v>12</v>
      </c>
    </row>
    <row r="44" spans="3:15" x14ac:dyDescent="0.25">
      <c r="M44" s="14">
        <v>12</v>
      </c>
    </row>
    <row r="45" spans="3:15" x14ac:dyDescent="0.25">
      <c r="M45" s="14">
        <v>12</v>
      </c>
    </row>
    <row r="46" spans="3:15" x14ac:dyDescent="0.25">
      <c r="M46" s="14">
        <v>12</v>
      </c>
    </row>
    <row r="47" spans="3:15" x14ac:dyDescent="0.25">
      <c r="M47" s="14">
        <v>12</v>
      </c>
    </row>
    <row r="48" spans="3:15" x14ac:dyDescent="0.25">
      <c r="M48" s="14">
        <v>12</v>
      </c>
    </row>
    <row r="49" spans="13:14" x14ac:dyDescent="0.25">
      <c r="M49" s="14">
        <v>12</v>
      </c>
    </row>
    <row r="50" spans="13:14" x14ac:dyDescent="0.25">
      <c r="M50" s="14">
        <v>12</v>
      </c>
    </row>
    <row r="51" spans="13:14" x14ac:dyDescent="0.25">
      <c r="M51" s="14">
        <v>12</v>
      </c>
    </row>
    <row r="52" spans="13:14" x14ac:dyDescent="0.25">
      <c r="M52" s="14">
        <v>12</v>
      </c>
    </row>
    <row r="53" spans="13:14" x14ac:dyDescent="0.25">
      <c r="M53" s="14">
        <v>12</v>
      </c>
    </row>
    <row r="54" spans="13:14" x14ac:dyDescent="0.25">
      <c r="M54" s="14">
        <v>12</v>
      </c>
    </row>
    <row r="55" spans="13:14" x14ac:dyDescent="0.25">
      <c r="M55" s="14">
        <f>SUM(M37:M54)</f>
        <v>215</v>
      </c>
      <c r="N55" s="14">
        <f>SUM(K22*5%)/12*215</f>
        <v>3225</v>
      </c>
    </row>
  </sheetData>
  <mergeCells count="19">
    <mergeCell ref="C33:H33"/>
    <mergeCell ref="N1:N2"/>
    <mergeCell ref="O1:O2"/>
    <mergeCell ref="C3:O3"/>
    <mergeCell ref="C4:O4"/>
    <mergeCell ref="C19:H19"/>
    <mergeCell ref="C20:O20"/>
    <mergeCell ref="H1:H2"/>
    <mergeCell ref="I1:I2"/>
    <mergeCell ref="J1:J2"/>
    <mergeCell ref="K1:K2"/>
    <mergeCell ref="L1:L2"/>
    <mergeCell ref="M1:M2"/>
    <mergeCell ref="B1:B2"/>
    <mergeCell ref="C1:C2"/>
    <mergeCell ref="D1:D2"/>
    <mergeCell ref="E1:E2"/>
    <mergeCell ref="F1:F2"/>
    <mergeCell ref="G1:G2"/>
  </mergeCells>
  <pageMargins left="0.11811023622047245" right="0.11811023622047245" top="0.98425196850393704" bottom="0.98425196850393704" header="0.51181102362204722" footer="0.51181102362204722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 - 2025-12-15T143346.611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RUTH</cp:lastModifiedBy>
  <dcterms:created xsi:type="dcterms:W3CDTF">2025-12-15T21:32:12Z</dcterms:created>
  <dcterms:modified xsi:type="dcterms:W3CDTF">2025-12-15T21:57:03Z</dcterms:modified>
</cp:coreProperties>
</file>